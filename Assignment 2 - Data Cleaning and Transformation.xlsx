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1\Downloads\"/>
    </mc:Choice>
  </mc:AlternateContent>
  <bookViews>
    <workbookView xWindow="0" yWindow="0" windowWidth="20490" windowHeight="7620" activeTab="3"/>
  </bookViews>
  <sheets>
    <sheet name="Raw data" sheetId="2" r:id="rId1"/>
    <sheet name="Cleaning data" sheetId="3" r:id="rId2"/>
    <sheet name="observation" sheetId="4" r:id="rId3"/>
    <sheet name="cleaned Data" sheetId="6" r:id="rId4"/>
    <sheet name="Sheet5" sheetId="7" r:id="rId5"/>
    <sheet name="Sheet6" sheetId="8" r:id="rId6"/>
    <sheet name="Sheet7" sheetId="9" r:id="rId7"/>
    <sheet name="Sheet1" sheetId="10" r:id="rId8"/>
    <sheet name="Sheet2" sheetId="11" r:id="rId9"/>
    <sheet name="Sheet3" sheetId="12" r:id="rId10"/>
  </sheets>
  <definedNames>
    <definedName name="ExternalData_1" localSheetId="3" hidden="1">'cleaned Data'!$A$1:$G$36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D49" i="3"/>
  <c r="D48" i="3"/>
  <c r="D41" i="3"/>
  <c r="D40" i="3"/>
  <c r="E42" i="3"/>
  <c r="E41" i="3"/>
  <c r="F47" i="3" l="1"/>
  <c r="F46" i="3"/>
</calcChain>
</file>

<file path=xl/connections.xml><?xml version="1.0" encoding="utf-8"?>
<connections xmlns="http://schemas.openxmlformats.org/spreadsheetml/2006/main">
  <connection id="1" keepAlive="1" name="Query - Table1 (2)" description="Connection to the 'Table1 (2)' query in the workbook." type="5" refreshedVersion="6" background="1" saveData="1">
    <dbPr connection="Provider=Microsoft.Mashup.OleDb.1;Data Source=$Workbook$;Location=Table1 (2);Extended Properties=&quot;&quot;" command="SELECT * FROM [Table1 (2)]"/>
  </connection>
</connections>
</file>

<file path=xl/sharedStrings.xml><?xml version="1.0" encoding="utf-8"?>
<sst xmlns="http://schemas.openxmlformats.org/spreadsheetml/2006/main" count="470" uniqueCount="199">
  <si>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</si>
  <si>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</si>
  <si>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</si>
  <si>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</si>
  <si>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</si>
  <si>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</si>
  <si>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</si>
  <si>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</si>
  <si>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</si>
  <si>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</si>
  <si>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</si>
  <si>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</si>
  <si>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</si>
  <si>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</si>
  <si>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</si>
  <si>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</si>
  <si>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</si>
  <si>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</si>
  <si>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</si>
  <si>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</si>
  <si>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</si>
  <si>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</si>
  <si>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</si>
  <si>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</si>
  <si>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</si>
  <si>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</si>
  <si>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</si>
  <si>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</si>
  <si>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</si>
  <si>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</si>
  <si>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</si>
  <si>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</si>
  <si>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</si>
  <si>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</si>
  <si>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</si>
  <si>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</si>
  <si>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</si>
  <si>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</si>
  <si>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</si>
  <si>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</si>
  <si>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</si>
  <si>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</si>
  <si>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</si>
  <si>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</si>
  <si>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</si>
  <si>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</si>
  <si>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</si>
  <si>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</si>
  <si>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</si>
  <si>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</si>
  <si>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</si>
  <si>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</si>
  <si>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</si>
  <si>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</si>
  <si>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</si>
  <si>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</si>
  <si>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</si>
  <si>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</si>
  <si>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</si>
  <si>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</si>
  <si>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</si>
  <si>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</si>
  <si>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</si>
  <si>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</si>
  <si>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</si>
  <si>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</si>
  <si>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</si>
  <si>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</si>
  <si>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</si>
  <si>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</si>
  <si>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</si>
  <si>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</si>
  <si>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</si>
  <si>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</si>
  <si>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</si>
  <si>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</si>
  <si>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</si>
  <si>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</si>
  <si>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</si>
  <si>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</si>
  <si>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</si>
  <si>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</si>
  <si>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</si>
  <si>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</si>
  <si>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</si>
  <si>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</si>
  <si>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</si>
  <si>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</si>
  <si>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</si>
  <si>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</si>
  <si>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</si>
  <si>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</si>
  <si>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</si>
  <si>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</si>
  <si>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</si>
  <si>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</si>
  <si>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</si>
  <si>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OBSERVATION</t>
  </si>
  <si>
    <t xml:space="preserve">Category missing </t>
  </si>
  <si>
    <t>Price missing value using if function</t>
  </si>
  <si>
    <t>PRICE ($)2</t>
  </si>
  <si>
    <t>Manufacturing Date</t>
  </si>
  <si>
    <t>Country Code</t>
  </si>
  <si>
    <t>Product Brand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</si>
  <si>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</si>
  <si>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</si>
  <si>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</si>
  <si>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</si>
  <si>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</si>
  <si>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</si>
  <si>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</si>
  <si>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</si>
  <si>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 Adidas</t>
  </si>
  <si>
    <t>Blender Ninja</t>
  </si>
  <si>
    <t>Tablet Apple</t>
  </si>
  <si>
    <t>Hiking Boots Timberland</t>
  </si>
  <si>
    <t>IN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</si>
  <si>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</si>
  <si>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</si>
  <si>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</si>
  <si>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</si>
  <si>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</si>
  <si>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</si>
  <si>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</si>
  <si>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</si>
  <si>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</si>
  <si>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</si>
  <si>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</si>
  <si>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</si>
  <si>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</si>
  <si>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</si>
  <si>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</si>
  <si>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</si>
  <si>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</si>
  <si>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</si>
  <si>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</si>
  <si>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</si>
  <si>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</si>
  <si>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</si>
  <si>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</si>
  <si>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</si>
  <si>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</si>
  <si>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</si>
  <si>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FR</t>
  </si>
  <si>
    <t>Watch Casio</t>
  </si>
  <si>
    <t>DATE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</si>
  <si>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</si>
  <si>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</si>
  <si>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</si>
  <si>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</si>
  <si>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</si>
  <si>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</si>
  <si>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</si>
  <si>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</si>
  <si>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</si>
  <si>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</si>
  <si>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</si>
  <si>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</si>
  <si>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</si>
  <si>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</si>
  <si>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D/M/Y</t>
  </si>
  <si>
    <t>28 JAN 2025</t>
  </si>
  <si>
    <t>15 FEB 2025</t>
  </si>
  <si>
    <t>3 MAR 2025</t>
  </si>
  <si>
    <t>11 APR 2025</t>
  </si>
  <si>
    <t>22 MAY 2025</t>
  </si>
  <si>
    <t>7 JUN 2025</t>
  </si>
  <si>
    <t>19 JUL 2025</t>
  </si>
  <si>
    <t>23 AUG 2025</t>
  </si>
  <si>
    <t>5 SEP 2025</t>
  </si>
  <si>
    <t>14 OCT 2025</t>
  </si>
  <si>
    <t>Laptop Hp</t>
  </si>
  <si>
    <t>17 JUN 2025</t>
  </si>
  <si>
    <t>25 NOV 2025</t>
  </si>
  <si>
    <t>8 DEC 2025</t>
  </si>
  <si>
    <t>18 FEB 2025</t>
  </si>
  <si>
    <t>16 APR 2025</t>
  </si>
  <si>
    <t>21 AUG 2025</t>
  </si>
  <si>
    <t>20 AUG 2025</t>
  </si>
  <si>
    <t>27 JAN 2025</t>
  </si>
  <si>
    <t>1 MAR 2025</t>
  </si>
  <si>
    <t>14 AUG 2025</t>
  </si>
  <si>
    <t>14 MAY 2025</t>
  </si>
  <si>
    <t>9 JAN 2025</t>
  </si>
  <si>
    <t>29 SEP 2025</t>
  </si>
  <si>
    <t>3 JUN 2025</t>
  </si>
  <si>
    <t>11 JUL 2025</t>
  </si>
  <si>
    <t>7 MAR 2025</t>
  </si>
  <si>
    <t>13 APR 2025</t>
  </si>
  <si>
    <t>24 MAY 2025</t>
  </si>
  <si>
    <t>Jeans Levi'S</t>
  </si>
  <si>
    <t>2 DEC 2025</t>
  </si>
  <si>
    <t>9 JUL 2025</t>
  </si>
  <si>
    <t xml:space="preserve"> </t>
  </si>
  <si>
    <t xml:space="preserve">  </t>
  </si>
  <si>
    <t>formula =if condition</t>
  </si>
  <si>
    <t>price  colum into currency format</t>
  </si>
  <si>
    <t>use flash fill for seperated date , month</t>
  </si>
  <si>
    <t>Conditional formmatting for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</si>
</sst>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charset val="134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1" xfId="0" applyFont="1" applyBorder="1"/>
    <xf numFmtId="0" fontId="2" fillId="3" borderId="1" xfId="0" applyFont="1" applyFill="1" applyBorder="1"/>
    <xf numFmtId="0" fontId="2" fillId="0" borderId="2" xfId="0" applyFont="1" applyBorder="1"/>
    <xf numFmtId="0" fontId="2" fillId="3" borderId="2" xfId="0" applyFont="1" applyFill="1" applyBorder="1"/>
    <xf numFmtId="0" fontId="2" fillId="0" borderId="3" xfId="0" applyFont="1" applyBorder="1"/>
    <xf numFmtId="0" fontId="2" fillId="3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6" fillId="3" borderId="1" xfId="0" applyFont="1" applyFill="1" applyBorder="1" applyAlignment="1"/>
    <xf numFmtId="0" fontId="7" fillId="2" borderId="5" xfId="0" applyFont="1" applyFill="1" applyBorder="1" applyAlignment="1">
      <alignment horizontal="center"/>
    </xf>
    <xf numFmtId="0" fontId="6" fillId="3" borderId="2" xfId="0" applyFont="1" applyFill="1" applyBorder="1" applyAlignment="1"/>
    <xf numFmtId="0" fontId="6" fillId="3" borderId="3" xfId="0" applyFont="1" applyFill="1" applyBorder="1" applyAlignment="1"/>
    <xf numFmtId="0" fontId="6" fillId="3" borderId="1" xfId="0" applyNumberFormat="1" applyFont="1" applyFill="1" applyBorder="1" applyAlignment="1"/>
    <xf numFmtId="0" fontId="7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0" borderId="0" xfId="0" applyNumberFormat="1" applyFont="1" applyAlignment="1"/>
    <xf numFmtId="0" fontId="6" fillId="3" borderId="0" xfId="0" applyFont="1" applyFill="1" applyAlignment="1"/>
    <xf numFmtId="0" fontId="0" fillId="3" borderId="5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4" borderId="1" xfId="0" applyNumberFormat="1" applyFont="1" applyFill="1" applyBorder="1" applyAlignment="1"/>
    <xf numFmtId="0" fontId="0" fillId="0" borderId="0" xfId="0" applyFont="1" applyAlignment="1">
      <alignment horizontal="center"/>
    </xf>
    <xf numFmtId="0" fontId="0" fillId="0" borderId="1" xfId="0" applyNumberFormat="1" applyFont="1" applyBorder="1" applyAlignment="1"/>
    <xf numFmtId="0" fontId="0" fillId="0" borderId="1" xfId="0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PivotStylePreset2_Accent1" table="0" count="10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377414</xdr:colOff>
      <xdr:row>0</xdr:row>
      <xdr:rowOff>2866</xdr:rowOff>
    </xdr:from>
    <xdr:to>
      <xdr:col>20</xdr:col>
      <xdr:colOff>60735</xdr:colOff>
      <xdr:row>26</xdr:row>
      <xdr:rowOff>80506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5414" y="2866"/>
          <a:ext cx="8827321" cy="4287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24</xdr:row>
      <xdr:rowOff>135616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40218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25</xdr:row>
      <xdr:rowOff>40277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4088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25</xdr:row>
      <xdr:rowOff>107602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4155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24</xdr:row>
      <xdr:rowOff>121803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40080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25</xdr:row>
      <xdr:rowOff>139012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418713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7">
      <queryTableField id="1" name="Manufacturing Date" tableColumnId="17"/>
      <queryTableField id="2" name="Country Code" tableColumnId="18"/>
      <queryTableField id="3" name="Product Brand" tableColumnId="19"/>
      <queryTableField id="5" name="Quantity" tableColumnId="21"/>
      <queryTableField id="6" name="Category" tableColumnId="22"/>
      <queryTableField id="7" name="PRICE ($)2" tableColumnId="23"/>
      <queryTableField id="8" name="D/M/Y" tableColumnId="24"/>
    </queryTableFields>
    <queryTableDeletedFields count="1">
      <deletedField name="Price ($)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J36" totalsRowShown="0" headerRowDxfId="21" dataDxfId="19" headerRowBorderDxfId="20" tableBorderDxfId="18" totalsRowBorderDxfId="17">
  <autoFilter ref="A1:J36"/>
  <tableColumns count="10">
    <tableColumn id="1" name="Product ID" dataDxfId="16"/>
    <tableColumn id="2" name="Product Name" dataDxfId="15"/>
    <tableColumn id="3" name="Brand Name" dataDxfId="14"/>
    <tableColumn id="4" name="Price ($)" dataDxfId="13"/>
    <tableColumn id="5" name="Quantity" dataDxfId="12"/>
    <tableColumn id="6" name="Category" dataDxfId="11"/>
    <tableColumn id="7" name="PRICE ($)2" dataDxfId="10">
      <calculatedColumnFormula>IF(D2="",AVERAGEIF($F$2:$F$36,F2,$D$2:$D$36),D2)</calculatedColumnFormula>
    </tableColumn>
    <tableColumn id="8" name="DATE" dataDxfId="9"/>
    <tableColumn id="9" name="MONTH" dataDxfId="8"/>
    <tableColumn id="10" name="YEAR" dataDxfId="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4" name="Table1__2" displayName="Table1__2" ref="A1:G36" tableType="queryTable" totalsRowShown="0">
  <autoFilter ref="A1:G36"/>
  <tableColumns count="7">
    <tableColumn id="17" uniqueName="17" name="Manufacturing Date" queryTableFieldId="1" dataDxfId="6"/>
    <tableColumn id="18" uniqueName="18" name="Country Code" queryTableFieldId="2" dataDxfId="5"/>
    <tableColumn id="19" uniqueName="19" name="Product Brand" queryTableFieldId="3" dataDxfId="4"/>
    <tableColumn id="21" uniqueName="21" name="Quantity" queryTableFieldId="5" dataDxfId="3"/>
    <tableColumn id="22" uniqueName="22" name="Category" queryTableFieldId="6" dataDxfId="2"/>
    <tableColumn id="23" uniqueName="23" name="PRICE ($)2" queryTableFieldId="7" dataDxfId="1"/>
    <tableColumn id="24" uniqueName="24" name="D/M/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>
      <selection activeCell="G4" sqref="G4"/>
    </sheetView>
  </sheetViews>
  <sheetFormatPr defaultColWidth="12.5703125" defaultRowHeight="15" customHeight="1"/>
  <cols>
    <col min="1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6"/>
      <c r="K5" s="5"/>
      <c r="L5" s="5"/>
      <c r="M5" s="5"/>
      <c r="N5" s="5"/>
      <c r="O5" s="5"/>
      <c r="P5" s="5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B1" workbookViewId="0">
      <selection activeCell="K30" sqref="K30"/>
    </sheetView>
  </sheetViews>
  <sheetFormatPr defaultRowHeight="12.75"/>
  <cols>
    <col min="1" max="1" width="18.28515625" customWidth="1"/>
    <col min="2" max="2" width="21.42578125" customWidth="1"/>
    <col min="3" max="3" width="18.5703125" customWidth="1"/>
    <col min="4" max="4" width="13.5703125" customWidth="1"/>
    <col min="5" max="5" width="15.42578125" customWidth="1"/>
    <col min="6" max="6" width="19.42578125" customWidth="1"/>
    <col min="7" max="7" width="15.85546875" customWidth="1"/>
    <col min="8" max="8" width="10.42578125" customWidth="1"/>
    <col min="9" max="9" width="12.28515625" bestFit="1" customWidth="1"/>
  </cols>
  <sheetData>
    <row r="1" spans="1:10">
      <c r="A1" s="13" t="s">
        <v>0</v>
      </c>
      <c r="B1" s="14" t="s">
        <v>1</v>
      </c>
      <c r="C1" s="14" t="s">
        <v>2</v>
      </c>
      <c r="D1" s="1" t="s">
        <v>3</v>
      </c>
      <c r="E1" s="14" t="s">
        <v>4</v>
      </c>
      <c r="F1" s="15" t="s">
        <v>5</v>
      </c>
      <c r="G1" s="20" t="s">
        <v>100</v>
      </c>
      <c r="H1" s="24" t="s">
        <v>145</v>
      </c>
      <c r="I1" s="24" t="s">
        <v>146</v>
      </c>
      <c r="J1" s="20" t="s">
        <v>159</v>
      </c>
    </row>
    <row r="2" spans="1:10">
      <c r="A2" s="9" t="s">
        <v>6</v>
      </c>
      <c r="B2" s="7" t="s">
        <v>7</v>
      </c>
      <c r="C2" s="7" t="s">
        <v>8</v>
      </c>
      <c r="D2" s="7">
        <v>1000</v>
      </c>
      <c r="E2" s="7">
        <v>30</v>
      </c>
      <c r="F2" s="11" t="s">
        <v>9</v>
      </c>
      <c r="G2" s="28">
        <f t="shared" ref="G2:G35" si="0">IF(D2="",AVERAGEIF($F$2:$F$36,F2,$D$2:$D$36),D2)</f>
        <v>1000</v>
      </c>
      <c r="H2" s="19">
        <v>28</v>
      </c>
      <c r="I2" s="19" t="s">
        <v>147</v>
      </c>
      <c r="J2" s="27">
        <v>2025</v>
      </c>
    </row>
    <row r="3" spans="1:10">
      <c r="A3" s="10" t="s">
        <v>10</v>
      </c>
      <c r="B3" s="8" t="s">
        <v>11</v>
      </c>
      <c r="C3" s="8" t="s">
        <v>12</v>
      </c>
      <c r="D3" s="8">
        <v>80</v>
      </c>
      <c r="E3" s="8">
        <v>15</v>
      </c>
      <c r="F3" s="12" t="s">
        <v>13</v>
      </c>
      <c r="G3" s="29">
        <f t="shared" si="0"/>
        <v>80</v>
      </c>
      <c r="H3" s="19">
        <v>15</v>
      </c>
      <c r="I3" s="19" t="s">
        <v>148</v>
      </c>
      <c r="J3" s="27">
        <v>2025</v>
      </c>
    </row>
    <row r="4" spans="1:10">
      <c r="A4" s="9" t="s">
        <v>14</v>
      </c>
      <c r="B4" s="7" t="s">
        <v>15</v>
      </c>
      <c r="C4" s="7" t="s">
        <v>16</v>
      </c>
      <c r="D4" s="7">
        <v>130</v>
      </c>
      <c r="E4" s="7">
        <v>40</v>
      </c>
      <c r="F4" s="11" t="s">
        <v>17</v>
      </c>
      <c r="G4" s="29">
        <f t="shared" si="0"/>
        <v>130</v>
      </c>
      <c r="H4" s="19">
        <v>3</v>
      </c>
      <c r="I4" s="19" t="s">
        <v>149</v>
      </c>
      <c r="J4" s="27">
        <v>2025</v>
      </c>
    </row>
    <row r="5" spans="1:10">
      <c r="A5" s="10" t="s">
        <v>18</v>
      </c>
      <c r="B5" s="8" t="s">
        <v>19</v>
      </c>
      <c r="C5" s="8" t="s">
        <v>20</v>
      </c>
      <c r="D5" s="8">
        <v>900</v>
      </c>
      <c r="E5" s="8">
        <v>25</v>
      </c>
      <c r="F5" s="12" t="s">
        <v>9</v>
      </c>
      <c r="G5" s="29">
        <f t="shared" si="0"/>
        <v>900</v>
      </c>
      <c r="H5" s="19">
        <v>11</v>
      </c>
      <c r="I5" s="19" t="s">
        <v>150</v>
      </c>
      <c r="J5" s="27">
        <v>2025</v>
      </c>
    </row>
    <row r="6" spans="1:10">
      <c r="A6" s="9" t="s">
        <v>21</v>
      </c>
      <c r="B6" s="7" t="s">
        <v>22</v>
      </c>
      <c r="C6" s="7" t="s">
        <v>23</v>
      </c>
      <c r="D6" s="7">
        <v>70</v>
      </c>
      <c r="E6" s="7">
        <v>20</v>
      </c>
      <c r="F6" s="11" t="s">
        <v>40</v>
      </c>
      <c r="G6" s="29">
        <f t="shared" si="0"/>
        <v>70</v>
      </c>
      <c r="H6" s="19">
        <v>22</v>
      </c>
      <c r="I6" s="19" t="s">
        <v>151</v>
      </c>
      <c r="J6" s="27">
        <v>2025</v>
      </c>
    </row>
    <row r="7" spans="1:10">
      <c r="A7" s="10" t="s">
        <v>24</v>
      </c>
      <c r="B7" s="8" t="s">
        <v>25</v>
      </c>
      <c r="C7" s="8" t="s">
        <v>26</v>
      </c>
      <c r="D7" s="25"/>
      <c r="E7" s="8">
        <v>45</v>
      </c>
      <c r="F7" s="12" t="s">
        <v>27</v>
      </c>
      <c r="G7" s="30">
        <f t="shared" si="0"/>
        <v>202.5</v>
      </c>
      <c r="H7" s="19">
        <v>7</v>
      </c>
      <c r="I7" s="19" t="s">
        <v>152</v>
      </c>
      <c r="J7" s="27">
        <v>2025</v>
      </c>
    </row>
    <row r="8" spans="1:10">
      <c r="A8" s="9" t="s">
        <v>28</v>
      </c>
      <c r="B8" s="7" t="s">
        <v>29</v>
      </c>
      <c r="C8" s="7" t="s">
        <v>30</v>
      </c>
      <c r="D8" s="7">
        <v>30</v>
      </c>
      <c r="E8" s="7">
        <v>5</v>
      </c>
      <c r="F8" s="11" t="s">
        <v>13</v>
      </c>
      <c r="G8" s="29">
        <f t="shared" si="0"/>
        <v>30</v>
      </c>
      <c r="H8" s="19">
        <v>19</v>
      </c>
      <c r="I8" s="19" t="s">
        <v>153</v>
      </c>
      <c r="J8" s="27">
        <v>2025</v>
      </c>
    </row>
    <row r="9" spans="1:10">
      <c r="A9" s="10" t="s">
        <v>31</v>
      </c>
      <c r="B9" s="8" t="s">
        <v>32</v>
      </c>
      <c r="C9" s="8" t="s">
        <v>33</v>
      </c>
      <c r="D9" s="8">
        <v>90</v>
      </c>
      <c r="E9" s="8">
        <v>35</v>
      </c>
      <c r="F9" s="12" t="s">
        <v>17</v>
      </c>
      <c r="G9" s="29">
        <f t="shared" si="0"/>
        <v>90</v>
      </c>
      <c r="H9" s="19">
        <v>23</v>
      </c>
      <c r="I9" s="19" t="s">
        <v>154</v>
      </c>
      <c r="J9" s="27">
        <v>2025</v>
      </c>
    </row>
    <row r="10" spans="1:10">
      <c r="A10" s="9" t="s">
        <v>34</v>
      </c>
      <c r="B10" s="7" t="s">
        <v>35</v>
      </c>
      <c r="C10" s="7" t="s">
        <v>36</v>
      </c>
      <c r="D10" s="7">
        <v>500</v>
      </c>
      <c r="E10" s="7">
        <v>50</v>
      </c>
      <c r="F10" s="11" t="s">
        <v>9</v>
      </c>
      <c r="G10" s="29">
        <f t="shared" si="0"/>
        <v>500</v>
      </c>
      <c r="H10" s="19">
        <v>5</v>
      </c>
      <c r="I10" s="19" t="s">
        <v>155</v>
      </c>
      <c r="J10" s="27">
        <v>2025</v>
      </c>
    </row>
    <row r="11" spans="1:10">
      <c r="A11" s="10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12" t="s">
        <v>40</v>
      </c>
      <c r="G11" s="29">
        <f t="shared" si="0"/>
        <v>130</v>
      </c>
      <c r="H11" s="19">
        <v>14</v>
      </c>
      <c r="I11" s="19" t="s">
        <v>156</v>
      </c>
      <c r="J11" s="27">
        <v>2025</v>
      </c>
    </row>
    <row r="12" spans="1:10">
      <c r="A12" s="9" t="s">
        <v>41</v>
      </c>
      <c r="B12" s="7" t="s">
        <v>42</v>
      </c>
      <c r="C12" s="7" t="s">
        <v>43</v>
      </c>
      <c r="D12" s="7">
        <v>950</v>
      </c>
      <c r="E12" s="7">
        <v>25</v>
      </c>
      <c r="F12" s="11" t="s">
        <v>9</v>
      </c>
      <c r="G12" s="29">
        <f t="shared" si="0"/>
        <v>950</v>
      </c>
      <c r="H12" s="19">
        <v>17</v>
      </c>
      <c r="I12" s="19" t="s">
        <v>152</v>
      </c>
      <c r="J12" s="27">
        <v>2025</v>
      </c>
    </row>
    <row r="13" spans="1:10">
      <c r="A13" s="10" t="s">
        <v>44</v>
      </c>
      <c r="B13" s="8" t="s">
        <v>11</v>
      </c>
      <c r="C13" s="8" t="s">
        <v>30</v>
      </c>
      <c r="D13" s="8">
        <v>90</v>
      </c>
      <c r="E13" s="8">
        <v>40</v>
      </c>
      <c r="F13" s="12" t="s">
        <v>13</v>
      </c>
      <c r="G13" s="29">
        <f t="shared" si="0"/>
        <v>90</v>
      </c>
      <c r="H13" s="19">
        <v>25</v>
      </c>
      <c r="I13" s="19" t="s">
        <v>157</v>
      </c>
      <c r="J13" s="27">
        <v>2025</v>
      </c>
    </row>
    <row r="14" spans="1:10">
      <c r="A14" s="9" t="s">
        <v>45</v>
      </c>
      <c r="B14" s="7" t="s">
        <v>15</v>
      </c>
      <c r="C14" s="7" t="s">
        <v>46</v>
      </c>
      <c r="D14" s="7">
        <v>120</v>
      </c>
      <c r="E14" s="7">
        <v>35</v>
      </c>
      <c r="F14" s="11" t="s">
        <v>17</v>
      </c>
      <c r="G14" s="29">
        <f t="shared" si="0"/>
        <v>120</v>
      </c>
      <c r="H14" s="19">
        <v>8</v>
      </c>
      <c r="I14" s="19" t="s">
        <v>158</v>
      </c>
      <c r="J14" s="27">
        <v>2025</v>
      </c>
    </row>
    <row r="15" spans="1:10">
      <c r="A15" s="10" t="s">
        <v>47</v>
      </c>
      <c r="B15" s="8" t="s">
        <v>48</v>
      </c>
      <c r="C15" s="8" t="s">
        <v>49</v>
      </c>
      <c r="D15" s="8">
        <v>150</v>
      </c>
      <c r="E15" s="8">
        <v>15</v>
      </c>
      <c r="F15" s="12" t="s">
        <v>27</v>
      </c>
      <c r="G15" s="29">
        <f t="shared" si="0"/>
        <v>150</v>
      </c>
      <c r="H15" s="19">
        <v>18</v>
      </c>
      <c r="I15" s="19" t="s">
        <v>148</v>
      </c>
      <c r="J15" s="27">
        <v>2025</v>
      </c>
    </row>
    <row r="16" spans="1:10">
      <c r="A16" s="9" t="s">
        <v>50</v>
      </c>
      <c r="B16" s="7" t="s">
        <v>51</v>
      </c>
      <c r="C16" s="7" t="s">
        <v>52</v>
      </c>
      <c r="D16" s="7">
        <v>250</v>
      </c>
      <c r="E16" s="7">
        <v>20</v>
      </c>
      <c r="F16" s="11" t="s">
        <v>27</v>
      </c>
      <c r="G16" s="29">
        <f t="shared" si="0"/>
        <v>250</v>
      </c>
      <c r="H16" s="19">
        <v>16</v>
      </c>
      <c r="I16" s="19" t="s">
        <v>150</v>
      </c>
      <c r="J16" s="27">
        <v>2025</v>
      </c>
    </row>
    <row r="17" spans="1:10">
      <c r="A17" s="10" t="s">
        <v>53</v>
      </c>
      <c r="B17" s="8" t="s">
        <v>54</v>
      </c>
      <c r="C17" s="8" t="s">
        <v>55</v>
      </c>
      <c r="D17" s="8">
        <v>50</v>
      </c>
      <c r="E17" s="8">
        <v>35</v>
      </c>
      <c r="F17" s="12" t="s">
        <v>56</v>
      </c>
      <c r="G17" s="29">
        <f t="shared" si="0"/>
        <v>50</v>
      </c>
      <c r="H17" s="19">
        <v>21</v>
      </c>
      <c r="I17" s="19" t="s">
        <v>154</v>
      </c>
      <c r="J17" s="27">
        <v>2025</v>
      </c>
    </row>
    <row r="18" spans="1:10">
      <c r="A18" s="9" t="s">
        <v>57</v>
      </c>
      <c r="B18" s="7" t="s">
        <v>48</v>
      </c>
      <c r="C18" s="7" t="s">
        <v>58</v>
      </c>
      <c r="D18" s="7">
        <v>160</v>
      </c>
      <c r="E18" s="7">
        <v>15</v>
      </c>
      <c r="F18" s="11" t="s">
        <v>27</v>
      </c>
      <c r="G18" s="29">
        <f t="shared" si="0"/>
        <v>160</v>
      </c>
      <c r="H18" s="19">
        <v>20</v>
      </c>
      <c r="I18" s="19" t="s">
        <v>154</v>
      </c>
      <c r="J18" s="27">
        <v>2025</v>
      </c>
    </row>
    <row r="19" spans="1:10">
      <c r="A19" s="10" t="s">
        <v>59</v>
      </c>
      <c r="B19" s="8" t="s">
        <v>7</v>
      </c>
      <c r="C19" s="8" t="s">
        <v>60</v>
      </c>
      <c r="D19" s="8">
        <v>980</v>
      </c>
      <c r="E19" s="8">
        <v>10</v>
      </c>
      <c r="F19" s="12" t="s">
        <v>9</v>
      </c>
      <c r="G19" s="29">
        <f t="shared" si="0"/>
        <v>980</v>
      </c>
      <c r="H19" s="19">
        <v>27</v>
      </c>
      <c r="I19" s="19" t="s">
        <v>147</v>
      </c>
      <c r="J19" s="27">
        <v>2025</v>
      </c>
    </row>
    <row r="20" spans="1:10">
      <c r="A20" s="9" t="s">
        <v>61</v>
      </c>
      <c r="B20" s="7" t="s">
        <v>62</v>
      </c>
      <c r="C20" s="7" t="s">
        <v>63</v>
      </c>
      <c r="D20" s="7">
        <v>150</v>
      </c>
      <c r="E20" s="7">
        <v>15</v>
      </c>
      <c r="F20" s="11" t="s">
        <v>13</v>
      </c>
      <c r="G20" s="29">
        <f t="shared" si="0"/>
        <v>150</v>
      </c>
      <c r="H20" s="19">
        <v>1</v>
      </c>
      <c r="I20" s="19" t="s">
        <v>149</v>
      </c>
      <c r="J20" s="27">
        <v>2025</v>
      </c>
    </row>
    <row r="21" spans="1:10">
      <c r="A21" s="10" t="s">
        <v>64</v>
      </c>
      <c r="B21" s="8" t="s">
        <v>65</v>
      </c>
      <c r="C21" s="8" t="s">
        <v>66</v>
      </c>
      <c r="D21" s="25"/>
      <c r="E21" s="8">
        <v>10</v>
      </c>
      <c r="F21" s="12" t="s">
        <v>40</v>
      </c>
      <c r="G21" s="30">
        <f t="shared" si="0"/>
        <v>100</v>
      </c>
      <c r="H21" s="19">
        <v>14</v>
      </c>
      <c r="I21" s="19" t="s">
        <v>154</v>
      </c>
      <c r="J21" s="27">
        <v>2025</v>
      </c>
    </row>
    <row r="22" spans="1:10">
      <c r="A22" s="9" t="s">
        <v>67</v>
      </c>
      <c r="B22" s="7" t="s">
        <v>68</v>
      </c>
      <c r="C22" s="7" t="s">
        <v>69</v>
      </c>
      <c r="D22" s="7">
        <v>700</v>
      </c>
      <c r="E22" s="7">
        <v>50</v>
      </c>
      <c r="F22" s="11" t="s">
        <v>9</v>
      </c>
      <c r="G22" s="29">
        <f t="shared" si="0"/>
        <v>700</v>
      </c>
      <c r="H22" s="19">
        <v>14</v>
      </c>
      <c r="I22" s="19" t="s">
        <v>151</v>
      </c>
      <c r="J22" s="27">
        <v>2025</v>
      </c>
    </row>
    <row r="23" spans="1:10">
      <c r="A23" s="10" t="s">
        <v>70</v>
      </c>
      <c r="B23" s="8" t="s">
        <v>71</v>
      </c>
      <c r="C23" s="8" t="s">
        <v>72</v>
      </c>
      <c r="D23" s="8">
        <v>80</v>
      </c>
      <c r="E23" s="8">
        <v>20</v>
      </c>
      <c r="F23" s="12" t="s">
        <v>17</v>
      </c>
      <c r="G23" s="29">
        <f t="shared" si="0"/>
        <v>80</v>
      </c>
      <c r="H23" s="19">
        <v>9</v>
      </c>
      <c r="I23" s="19" t="s">
        <v>147</v>
      </c>
      <c r="J23" s="27">
        <v>2025</v>
      </c>
    </row>
    <row r="24" spans="1:10">
      <c r="A24" s="9" t="s">
        <v>73</v>
      </c>
      <c r="B24" s="7" t="s">
        <v>74</v>
      </c>
      <c r="C24" s="7" t="s">
        <v>75</v>
      </c>
      <c r="D24" s="7">
        <v>150</v>
      </c>
      <c r="E24" s="7">
        <v>30</v>
      </c>
      <c r="F24" s="11" t="s">
        <v>9</v>
      </c>
      <c r="G24" s="29">
        <f t="shared" si="0"/>
        <v>150</v>
      </c>
      <c r="H24" s="19">
        <v>19</v>
      </c>
      <c r="I24" s="19" t="s">
        <v>153</v>
      </c>
      <c r="J24" s="27">
        <v>2025</v>
      </c>
    </row>
    <row r="25" spans="1:10">
      <c r="A25" s="10" t="s">
        <v>53</v>
      </c>
      <c r="B25" s="8" t="s">
        <v>54</v>
      </c>
      <c r="C25" s="8" t="s">
        <v>55</v>
      </c>
      <c r="D25" s="8">
        <v>50</v>
      </c>
      <c r="E25" s="8">
        <v>35</v>
      </c>
      <c r="F25" s="12" t="s">
        <v>56</v>
      </c>
      <c r="G25" s="29">
        <f t="shared" si="0"/>
        <v>50</v>
      </c>
      <c r="H25" s="19">
        <v>21</v>
      </c>
      <c r="I25" s="19" t="s">
        <v>154</v>
      </c>
      <c r="J25" s="27">
        <v>2025</v>
      </c>
    </row>
    <row r="26" spans="1:10">
      <c r="A26" s="9" t="s">
        <v>76</v>
      </c>
      <c r="B26" s="7" t="s">
        <v>77</v>
      </c>
      <c r="C26" s="7" t="s">
        <v>78</v>
      </c>
      <c r="D26" s="7">
        <v>800</v>
      </c>
      <c r="E26" s="7">
        <v>45</v>
      </c>
      <c r="F26" s="11" t="s">
        <v>9</v>
      </c>
      <c r="G26" s="29">
        <f t="shared" si="0"/>
        <v>800</v>
      </c>
      <c r="H26" s="19">
        <v>29</v>
      </c>
      <c r="I26" s="19" t="s">
        <v>155</v>
      </c>
      <c r="J26" s="27">
        <v>2025</v>
      </c>
    </row>
    <row r="27" spans="1:10">
      <c r="A27" s="10" t="s">
        <v>79</v>
      </c>
      <c r="B27" s="8" t="s">
        <v>62</v>
      </c>
      <c r="C27" s="8" t="s">
        <v>80</v>
      </c>
      <c r="D27" s="25"/>
      <c r="E27" s="8">
        <v>25</v>
      </c>
      <c r="F27" s="12" t="s">
        <v>13</v>
      </c>
      <c r="G27" s="30">
        <f t="shared" si="0"/>
        <v>76.666666666666671</v>
      </c>
      <c r="H27" s="19">
        <v>3</v>
      </c>
      <c r="I27" s="19" t="s">
        <v>152</v>
      </c>
      <c r="J27" s="27">
        <v>2025</v>
      </c>
    </row>
    <row r="28" spans="1:10">
      <c r="A28" s="9" t="s">
        <v>81</v>
      </c>
      <c r="B28" s="7" t="s">
        <v>32</v>
      </c>
      <c r="C28" s="7" t="s">
        <v>82</v>
      </c>
      <c r="D28" s="7">
        <v>400</v>
      </c>
      <c r="E28" s="7">
        <v>40</v>
      </c>
      <c r="F28" s="11" t="s">
        <v>17</v>
      </c>
      <c r="G28" s="29">
        <f t="shared" si="0"/>
        <v>400</v>
      </c>
      <c r="H28" s="19">
        <v>11</v>
      </c>
      <c r="I28" s="19" t="s">
        <v>153</v>
      </c>
      <c r="J28" s="27">
        <v>2025</v>
      </c>
    </row>
    <row r="29" spans="1:10">
      <c r="A29" s="10" t="s">
        <v>50</v>
      </c>
      <c r="B29" s="8" t="s">
        <v>51</v>
      </c>
      <c r="C29" s="8" t="s">
        <v>52</v>
      </c>
      <c r="D29" s="8">
        <v>250</v>
      </c>
      <c r="E29" s="8">
        <v>20</v>
      </c>
      <c r="F29" s="12" t="s">
        <v>27</v>
      </c>
      <c r="G29" s="29">
        <f t="shared" si="0"/>
        <v>250</v>
      </c>
      <c r="H29" s="19">
        <v>16</v>
      </c>
      <c r="I29" s="19" t="s">
        <v>150</v>
      </c>
      <c r="J29" s="27">
        <v>2025</v>
      </c>
    </row>
    <row r="30" spans="1:10">
      <c r="A30" s="9" t="s">
        <v>83</v>
      </c>
      <c r="B30" s="7" t="s">
        <v>84</v>
      </c>
      <c r="C30" s="7" t="s">
        <v>85</v>
      </c>
      <c r="D30" s="7">
        <v>60</v>
      </c>
      <c r="E30" s="7">
        <v>30</v>
      </c>
      <c r="F30" s="11" t="s">
        <v>13</v>
      </c>
      <c r="G30" s="29">
        <f t="shared" si="0"/>
        <v>60</v>
      </c>
      <c r="H30" s="19">
        <v>7</v>
      </c>
      <c r="I30" s="19" t="s">
        <v>149</v>
      </c>
      <c r="J30" s="27">
        <v>2025</v>
      </c>
    </row>
    <row r="31" spans="1:10">
      <c r="A31" s="10" t="s">
        <v>86</v>
      </c>
      <c r="B31" s="8" t="s">
        <v>87</v>
      </c>
      <c r="C31" s="8" t="s">
        <v>88</v>
      </c>
      <c r="D31" s="8">
        <v>40</v>
      </c>
      <c r="E31" s="8">
        <v>10</v>
      </c>
      <c r="F31" s="12" t="s">
        <v>17</v>
      </c>
      <c r="G31" s="29">
        <f t="shared" si="0"/>
        <v>40</v>
      </c>
      <c r="H31" s="19">
        <v>13</v>
      </c>
      <c r="I31" s="19" t="s">
        <v>150</v>
      </c>
      <c r="J31" s="27">
        <v>2025</v>
      </c>
    </row>
    <row r="32" spans="1:10">
      <c r="A32" s="9" t="s">
        <v>89</v>
      </c>
      <c r="B32" s="7" t="s">
        <v>74</v>
      </c>
      <c r="C32" s="7" t="s">
        <v>90</v>
      </c>
      <c r="D32" s="7">
        <v>130</v>
      </c>
      <c r="E32" s="7">
        <v>5</v>
      </c>
      <c r="F32" s="11" t="s">
        <v>9</v>
      </c>
      <c r="G32" s="29">
        <f t="shared" si="0"/>
        <v>130</v>
      </c>
      <c r="H32" s="19">
        <v>24</v>
      </c>
      <c r="I32" s="19" t="s">
        <v>151</v>
      </c>
      <c r="J32" s="27">
        <v>2025</v>
      </c>
    </row>
    <row r="33" spans="1:10">
      <c r="A33" s="10" t="s">
        <v>91</v>
      </c>
      <c r="B33" s="8" t="s">
        <v>92</v>
      </c>
      <c r="C33" s="8" t="s">
        <v>93</v>
      </c>
      <c r="D33" s="8">
        <v>50</v>
      </c>
      <c r="E33" s="8">
        <v>50</v>
      </c>
      <c r="F33" s="12" t="s">
        <v>13</v>
      </c>
      <c r="G33" s="29">
        <f t="shared" si="0"/>
        <v>50</v>
      </c>
      <c r="H33" s="19">
        <v>2</v>
      </c>
      <c r="I33" s="19" t="s">
        <v>158</v>
      </c>
      <c r="J33" s="27">
        <v>2025</v>
      </c>
    </row>
    <row r="34" spans="1:10">
      <c r="A34" s="9" t="s">
        <v>41</v>
      </c>
      <c r="B34" s="7" t="s">
        <v>42</v>
      </c>
      <c r="C34" s="7" t="s">
        <v>43</v>
      </c>
      <c r="D34" s="7">
        <v>950</v>
      </c>
      <c r="E34" s="7">
        <v>25</v>
      </c>
      <c r="F34" s="11" t="s">
        <v>9</v>
      </c>
      <c r="G34" s="29">
        <f t="shared" si="0"/>
        <v>950</v>
      </c>
      <c r="H34" s="19">
        <v>17</v>
      </c>
      <c r="I34" s="19" t="s">
        <v>152</v>
      </c>
      <c r="J34" s="27">
        <v>2025</v>
      </c>
    </row>
    <row r="35" spans="1:10">
      <c r="A35" s="16" t="s">
        <v>94</v>
      </c>
      <c r="B35" s="17" t="s">
        <v>95</v>
      </c>
      <c r="C35" s="17" t="s">
        <v>96</v>
      </c>
      <c r="D35" s="8">
        <v>100</v>
      </c>
      <c r="E35" s="17">
        <v>20</v>
      </c>
      <c r="F35" s="18" t="s">
        <v>56</v>
      </c>
      <c r="G35" s="29">
        <f t="shared" si="0"/>
        <v>100</v>
      </c>
      <c r="H35" s="19">
        <v>9</v>
      </c>
      <c r="I35" s="19" t="s">
        <v>153</v>
      </c>
      <c r="J35" s="27">
        <v>2025</v>
      </c>
    </row>
    <row r="36" spans="1:10">
      <c r="A36" s="21"/>
      <c r="B36" s="19"/>
      <c r="C36" s="19"/>
      <c r="D36" s="19"/>
      <c r="E36" s="19"/>
      <c r="F36" s="22"/>
      <c r="G36" s="23"/>
      <c r="H36" s="19"/>
      <c r="I36" s="19"/>
      <c r="J36" s="27"/>
    </row>
    <row r="38" spans="1:10">
      <c r="H38" s="31"/>
    </row>
    <row r="40" spans="1:10">
      <c r="D40">
        <f>70+130</f>
        <v>200</v>
      </c>
    </row>
    <row r="41" spans="1:10">
      <c r="D41">
        <f>200/2</f>
        <v>100</v>
      </c>
      <c r="E41">
        <f>150+250+160+250</f>
        <v>810</v>
      </c>
    </row>
    <row r="42" spans="1:10">
      <c r="E42">
        <f>810/4</f>
        <v>202.5</v>
      </c>
    </row>
    <row r="46" spans="1:10">
      <c r="F46">
        <f>150+250+160+250</f>
        <v>810</v>
      </c>
    </row>
    <row r="47" spans="1:10">
      <c r="F47">
        <f>810/4</f>
        <v>202.5</v>
      </c>
    </row>
    <row r="48" spans="1:10">
      <c r="D48">
        <f>80+30+90+150+60+50</f>
        <v>460</v>
      </c>
    </row>
    <row r="49" spans="4:4">
      <c r="D49">
        <f>460/6</f>
        <v>76.666666666666671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E13"/>
  <sheetViews>
    <sheetView workbookViewId="0">
      <selection activeCell="E13" sqref="E13"/>
    </sheetView>
  </sheetViews>
  <sheetFormatPr defaultRowHeight="12.75"/>
  <cols>
    <col min="5" max="5" width="36.5703125" customWidth="1"/>
  </cols>
  <sheetData>
    <row r="6" spans="4:5">
      <c r="E6" t="s">
        <v>97</v>
      </c>
    </row>
    <row r="8" spans="4:5">
      <c r="D8">
        <v>1</v>
      </c>
      <c r="E8" t="s">
        <v>98</v>
      </c>
    </row>
    <row r="9" spans="4:5">
      <c r="D9">
        <v>2</v>
      </c>
      <c r="E9" t="s">
        <v>99</v>
      </c>
    </row>
    <row r="10" spans="4:5">
      <c r="D10">
        <v>3</v>
      </c>
      <c r="E10" t="s">
        <v>195</v>
      </c>
    </row>
    <row r="11" spans="4:5">
      <c r="D11">
        <v>4</v>
      </c>
      <c r="E11" t="s">
        <v>196</v>
      </c>
    </row>
    <row r="12" spans="4:5">
      <c r="D12">
        <v>5</v>
      </c>
      <c r="E12" t="s">
        <v>197</v>
      </c>
    </row>
    <row r="13" spans="4:5">
      <c r="D13">
        <v>6</v>
      </c>
      <c r="E13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I10" sqref="I10"/>
    </sheetView>
  </sheetViews>
  <sheetFormatPr defaultRowHeight="12.75"/>
  <cols>
    <col min="1" max="1" width="18.140625" customWidth="1"/>
    <col min="2" max="2" width="15.140625" customWidth="1"/>
    <col min="3" max="3" width="20.85546875" customWidth="1"/>
    <col min="4" max="4" width="13" bestFit="1" customWidth="1"/>
    <col min="5" max="5" width="13.140625" bestFit="1" customWidth="1"/>
    <col min="6" max="6" width="13.7109375" bestFit="1" customWidth="1"/>
    <col min="7" max="7" width="14.85546875" bestFit="1" customWidth="1"/>
    <col min="8" max="8" width="12.28515625" bestFit="1" customWidth="1"/>
  </cols>
  <sheetData>
    <row r="1" spans="1:7">
      <c r="A1" s="33" t="s">
        <v>101</v>
      </c>
      <c r="B1" s="33" t="s">
        <v>102</v>
      </c>
      <c r="C1" s="32" t="s">
        <v>103</v>
      </c>
      <c r="D1" s="33" t="s">
        <v>4</v>
      </c>
      <c r="E1" s="33" t="s">
        <v>5</v>
      </c>
      <c r="F1" s="33" t="s">
        <v>100</v>
      </c>
      <c r="G1" s="33" t="s">
        <v>160</v>
      </c>
    </row>
    <row r="2" spans="1:7">
      <c r="A2" s="33">
        <v>28</v>
      </c>
      <c r="B2" s="33" t="s">
        <v>104</v>
      </c>
      <c r="C2" s="32" t="s">
        <v>105</v>
      </c>
      <c r="D2" s="33">
        <v>30</v>
      </c>
      <c r="E2" s="33" t="s">
        <v>9</v>
      </c>
      <c r="F2" s="34">
        <v>1000</v>
      </c>
      <c r="G2" s="33" t="s">
        <v>161</v>
      </c>
    </row>
    <row r="3" spans="1:7">
      <c r="A3" s="33">
        <v>15</v>
      </c>
      <c r="B3" s="33" t="s">
        <v>104</v>
      </c>
      <c r="C3" s="32" t="s">
        <v>106</v>
      </c>
      <c r="D3" s="33">
        <v>15</v>
      </c>
      <c r="E3" s="33" t="s">
        <v>13</v>
      </c>
      <c r="F3" s="34">
        <v>80</v>
      </c>
      <c r="G3" s="33" t="s">
        <v>162</v>
      </c>
    </row>
    <row r="4" spans="1:7">
      <c r="A4" s="33">
        <v>3</v>
      </c>
      <c r="B4" s="33" t="s">
        <v>104</v>
      </c>
      <c r="C4" s="32" t="s">
        <v>107</v>
      </c>
      <c r="D4" s="33">
        <v>40</v>
      </c>
      <c r="E4" s="33" t="s">
        <v>17</v>
      </c>
      <c r="F4" s="34">
        <v>130</v>
      </c>
      <c r="G4" s="33" t="s">
        <v>163</v>
      </c>
    </row>
    <row r="5" spans="1:7">
      <c r="A5" s="33">
        <v>11</v>
      </c>
      <c r="B5" s="33" t="s">
        <v>104</v>
      </c>
      <c r="C5" s="32" t="s">
        <v>108</v>
      </c>
      <c r="D5" s="33">
        <v>25</v>
      </c>
      <c r="E5" s="33" t="s">
        <v>9</v>
      </c>
      <c r="F5" s="34">
        <v>900</v>
      </c>
      <c r="G5" s="33" t="s">
        <v>164</v>
      </c>
    </row>
    <row r="6" spans="1:7">
      <c r="A6" s="33">
        <v>22</v>
      </c>
      <c r="B6" s="33" t="s">
        <v>104</v>
      </c>
      <c r="C6" s="32" t="s">
        <v>109</v>
      </c>
      <c r="D6" s="33">
        <v>20</v>
      </c>
      <c r="E6" s="33" t="s">
        <v>40</v>
      </c>
      <c r="F6" s="34">
        <v>70</v>
      </c>
      <c r="G6" s="33" t="s">
        <v>165</v>
      </c>
    </row>
    <row r="7" spans="1:7">
      <c r="A7" s="33">
        <v>7</v>
      </c>
      <c r="B7" s="33" t="s">
        <v>110</v>
      </c>
      <c r="C7" s="32" t="s">
        <v>111</v>
      </c>
      <c r="D7" s="33">
        <v>45</v>
      </c>
      <c r="E7" s="33" t="s">
        <v>27</v>
      </c>
      <c r="F7" s="34">
        <v>202.5</v>
      </c>
      <c r="G7" s="33" t="s">
        <v>166</v>
      </c>
    </row>
    <row r="8" spans="1:7">
      <c r="A8" s="33">
        <v>19</v>
      </c>
      <c r="B8" s="33" t="s">
        <v>110</v>
      </c>
      <c r="C8" s="32" t="s">
        <v>112</v>
      </c>
      <c r="D8" s="33">
        <v>5</v>
      </c>
      <c r="E8" s="33" t="s">
        <v>13</v>
      </c>
      <c r="F8" s="34">
        <v>30</v>
      </c>
      <c r="G8" s="33" t="s">
        <v>167</v>
      </c>
    </row>
    <row r="9" spans="1:7">
      <c r="A9" s="33">
        <v>23</v>
      </c>
      <c r="B9" s="33" t="s">
        <v>110</v>
      </c>
      <c r="C9" s="32" t="s">
        <v>113</v>
      </c>
      <c r="D9" s="33">
        <v>35</v>
      </c>
      <c r="E9" s="33" t="s">
        <v>17</v>
      </c>
      <c r="F9" s="34">
        <v>90</v>
      </c>
      <c r="G9" s="33" t="s">
        <v>168</v>
      </c>
    </row>
    <row r="10" spans="1:7">
      <c r="A10" s="33">
        <v>5</v>
      </c>
      <c r="B10" s="33" t="s">
        <v>110</v>
      </c>
      <c r="C10" s="32" t="s">
        <v>114</v>
      </c>
      <c r="D10" s="33">
        <v>50</v>
      </c>
      <c r="E10" s="33" t="s">
        <v>9</v>
      </c>
      <c r="F10" s="34">
        <v>500</v>
      </c>
      <c r="G10" s="33" t="s">
        <v>169</v>
      </c>
    </row>
    <row r="11" spans="1:7">
      <c r="A11" s="33">
        <v>14</v>
      </c>
      <c r="B11" s="33" t="s">
        <v>110</v>
      </c>
      <c r="C11" s="32" t="s">
        <v>115</v>
      </c>
      <c r="D11" s="33">
        <v>10</v>
      </c>
      <c r="E11" s="33" t="s">
        <v>40</v>
      </c>
      <c r="F11" s="34">
        <v>130</v>
      </c>
      <c r="G11" s="33" t="s">
        <v>170</v>
      </c>
    </row>
    <row r="12" spans="1:7">
      <c r="A12" s="33">
        <v>17</v>
      </c>
      <c r="B12" s="33" t="s">
        <v>116</v>
      </c>
      <c r="C12" s="32" t="s">
        <v>171</v>
      </c>
      <c r="D12" s="33">
        <v>25</v>
      </c>
      <c r="E12" s="33" t="s">
        <v>9</v>
      </c>
      <c r="F12" s="34">
        <v>950</v>
      </c>
      <c r="G12" s="33" t="s">
        <v>172</v>
      </c>
    </row>
    <row r="13" spans="1:7">
      <c r="A13" s="33">
        <v>25</v>
      </c>
      <c r="B13" s="33" t="s">
        <v>117</v>
      </c>
      <c r="C13" s="32" t="s">
        <v>118</v>
      </c>
      <c r="D13" s="33">
        <v>40</v>
      </c>
      <c r="E13" s="33" t="s">
        <v>13</v>
      </c>
      <c r="F13" s="34">
        <v>90</v>
      </c>
      <c r="G13" s="33" t="s">
        <v>173</v>
      </c>
    </row>
    <row r="14" spans="1:7">
      <c r="A14" s="33">
        <v>8</v>
      </c>
      <c r="B14" s="33" t="s">
        <v>119</v>
      </c>
      <c r="C14" s="32" t="s">
        <v>120</v>
      </c>
      <c r="D14" s="33">
        <v>35</v>
      </c>
      <c r="E14" s="33" t="s">
        <v>17</v>
      </c>
      <c r="F14" s="34">
        <v>120</v>
      </c>
      <c r="G14" s="33" t="s">
        <v>174</v>
      </c>
    </row>
    <row r="15" spans="1:7">
      <c r="A15" s="33">
        <v>18</v>
      </c>
      <c r="B15" s="33" t="s">
        <v>121</v>
      </c>
      <c r="C15" s="32" t="s">
        <v>122</v>
      </c>
      <c r="D15" s="33">
        <v>15</v>
      </c>
      <c r="E15" s="33" t="s">
        <v>27</v>
      </c>
      <c r="F15" s="34">
        <v>150</v>
      </c>
      <c r="G15" s="33" t="s">
        <v>175</v>
      </c>
    </row>
    <row r="16" spans="1:7">
      <c r="A16" s="33">
        <v>16</v>
      </c>
      <c r="B16" s="33" t="s">
        <v>123</v>
      </c>
      <c r="C16" s="32" t="s">
        <v>124</v>
      </c>
      <c r="D16" s="33">
        <v>20</v>
      </c>
      <c r="E16" s="33" t="s">
        <v>27</v>
      </c>
      <c r="F16" s="34">
        <v>250</v>
      </c>
      <c r="G16" s="33" t="s">
        <v>176</v>
      </c>
    </row>
    <row r="17" spans="1:7">
      <c r="A17" s="33">
        <v>21</v>
      </c>
      <c r="B17" s="33" t="s">
        <v>121</v>
      </c>
      <c r="C17" s="32" t="s">
        <v>125</v>
      </c>
      <c r="D17" s="33">
        <v>35</v>
      </c>
      <c r="E17" s="33" t="s">
        <v>56</v>
      </c>
      <c r="F17" s="34">
        <v>50</v>
      </c>
      <c r="G17" s="33" t="s">
        <v>177</v>
      </c>
    </row>
    <row r="18" spans="1:7">
      <c r="A18" s="33">
        <v>20</v>
      </c>
      <c r="B18" s="33" t="s">
        <v>126</v>
      </c>
      <c r="C18" s="32" t="s">
        <v>127</v>
      </c>
      <c r="D18" s="33">
        <v>15</v>
      </c>
      <c r="E18" s="33" t="s">
        <v>27</v>
      </c>
      <c r="F18" s="34">
        <v>160</v>
      </c>
      <c r="G18" s="33" t="s">
        <v>178</v>
      </c>
    </row>
    <row r="19" spans="1:7">
      <c r="A19" s="33">
        <v>27</v>
      </c>
      <c r="B19" s="33" t="s">
        <v>128</v>
      </c>
      <c r="C19" s="32" t="s">
        <v>129</v>
      </c>
      <c r="D19" s="33">
        <v>10</v>
      </c>
      <c r="E19" s="33" t="s">
        <v>9</v>
      </c>
      <c r="F19" s="34">
        <v>980</v>
      </c>
      <c r="G19" s="33" t="s">
        <v>179</v>
      </c>
    </row>
    <row r="20" spans="1:7">
      <c r="A20" s="33">
        <v>1</v>
      </c>
      <c r="B20" s="33" t="s">
        <v>110</v>
      </c>
      <c r="C20" s="32" t="s">
        <v>130</v>
      </c>
      <c r="D20" s="33">
        <v>15</v>
      </c>
      <c r="E20" s="33" t="s">
        <v>13</v>
      </c>
      <c r="F20" s="34">
        <v>150</v>
      </c>
      <c r="G20" s="33" t="s">
        <v>180</v>
      </c>
    </row>
    <row r="21" spans="1:7">
      <c r="A21" s="33">
        <v>14</v>
      </c>
      <c r="B21" s="33" t="s">
        <v>104</v>
      </c>
      <c r="C21" s="32" t="s">
        <v>131</v>
      </c>
      <c r="D21" s="33">
        <v>10</v>
      </c>
      <c r="E21" s="33" t="s">
        <v>40</v>
      </c>
      <c r="F21" s="34">
        <v>100</v>
      </c>
      <c r="G21" s="33" t="s">
        <v>181</v>
      </c>
    </row>
    <row r="22" spans="1:7">
      <c r="A22" s="33">
        <v>14</v>
      </c>
      <c r="B22" s="33" t="s">
        <v>132</v>
      </c>
      <c r="C22" s="32" t="s">
        <v>133</v>
      </c>
      <c r="D22" s="33">
        <v>50</v>
      </c>
      <c r="E22" s="33" t="s">
        <v>9</v>
      </c>
      <c r="F22" s="34">
        <v>700</v>
      </c>
      <c r="G22" s="33" t="s">
        <v>182</v>
      </c>
    </row>
    <row r="23" spans="1:7">
      <c r="A23" s="33">
        <v>9</v>
      </c>
      <c r="B23" s="33" t="s">
        <v>121</v>
      </c>
      <c r="C23" s="32" t="s">
        <v>134</v>
      </c>
      <c r="D23" s="33">
        <v>20</v>
      </c>
      <c r="E23" s="33" t="s">
        <v>17</v>
      </c>
      <c r="F23" s="34">
        <v>80</v>
      </c>
      <c r="G23" s="33" t="s">
        <v>183</v>
      </c>
    </row>
    <row r="24" spans="1:7">
      <c r="A24" s="33">
        <v>19</v>
      </c>
      <c r="B24" s="33" t="s">
        <v>135</v>
      </c>
      <c r="C24" s="32" t="s">
        <v>136</v>
      </c>
      <c r="D24" s="33">
        <v>30</v>
      </c>
      <c r="E24" s="33" t="s">
        <v>9</v>
      </c>
      <c r="F24" s="34">
        <v>150</v>
      </c>
      <c r="G24" s="33" t="s">
        <v>167</v>
      </c>
    </row>
    <row r="25" spans="1:7">
      <c r="A25" s="33">
        <v>21</v>
      </c>
      <c r="B25" s="33" t="s">
        <v>121</v>
      </c>
      <c r="C25" s="32" t="s">
        <v>125</v>
      </c>
      <c r="D25" s="33">
        <v>35</v>
      </c>
      <c r="E25" s="33" t="s">
        <v>56</v>
      </c>
      <c r="F25" s="34">
        <v>50</v>
      </c>
      <c r="G25" s="33" t="s">
        <v>177</v>
      </c>
    </row>
    <row r="26" spans="1:7">
      <c r="A26" s="33">
        <v>29</v>
      </c>
      <c r="B26" s="33" t="s">
        <v>121</v>
      </c>
      <c r="C26" s="32" t="s">
        <v>137</v>
      </c>
      <c r="D26" s="33">
        <v>45</v>
      </c>
      <c r="E26" s="33" t="s">
        <v>9</v>
      </c>
      <c r="F26" s="34">
        <v>800</v>
      </c>
      <c r="G26" s="33" t="s">
        <v>184</v>
      </c>
    </row>
    <row r="27" spans="1:7">
      <c r="A27" s="33">
        <v>3</v>
      </c>
      <c r="B27" s="33" t="s">
        <v>121</v>
      </c>
      <c r="C27" s="32" t="s">
        <v>138</v>
      </c>
      <c r="D27" s="33">
        <v>25</v>
      </c>
      <c r="E27" s="33" t="s">
        <v>13</v>
      </c>
      <c r="F27" s="34">
        <v>76.666666666666671</v>
      </c>
      <c r="G27" s="33" t="s">
        <v>185</v>
      </c>
    </row>
    <row r="28" spans="1:7">
      <c r="A28" s="33">
        <v>11</v>
      </c>
      <c r="B28" s="33" t="s">
        <v>121</v>
      </c>
      <c r="C28" s="32" t="s">
        <v>139</v>
      </c>
      <c r="D28" s="33">
        <v>40</v>
      </c>
      <c r="E28" s="33" t="s">
        <v>17</v>
      </c>
      <c r="F28" s="34">
        <v>400</v>
      </c>
      <c r="G28" s="33" t="s">
        <v>186</v>
      </c>
    </row>
    <row r="29" spans="1:7">
      <c r="A29" s="33">
        <v>16</v>
      </c>
      <c r="B29" s="33" t="s">
        <v>123</v>
      </c>
      <c r="C29" s="32" t="s">
        <v>124</v>
      </c>
      <c r="D29" s="33">
        <v>20</v>
      </c>
      <c r="E29" s="33" t="s">
        <v>27</v>
      </c>
      <c r="F29" s="34">
        <v>250</v>
      </c>
      <c r="G29" s="33" t="s">
        <v>176</v>
      </c>
    </row>
    <row r="30" spans="1:7">
      <c r="A30" s="33">
        <v>7</v>
      </c>
      <c r="B30" s="33" t="s">
        <v>121</v>
      </c>
      <c r="C30" s="32" t="s">
        <v>140</v>
      </c>
      <c r="D30" s="33">
        <v>30</v>
      </c>
      <c r="E30" s="33" t="s">
        <v>13</v>
      </c>
      <c r="F30" s="34">
        <v>60</v>
      </c>
      <c r="G30" s="33" t="s">
        <v>187</v>
      </c>
    </row>
    <row r="31" spans="1:7">
      <c r="A31" s="33">
        <v>13</v>
      </c>
      <c r="B31" s="33" t="s">
        <v>121</v>
      </c>
      <c r="C31" s="32" t="s">
        <v>141</v>
      </c>
      <c r="D31" s="33">
        <v>10</v>
      </c>
      <c r="E31" s="33" t="s">
        <v>17</v>
      </c>
      <c r="F31" s="34">
        <v>40</v>
      </c>
      <c r="G31" s="33" t="s">
        <v>188</v>
      </c>
    </row>
    <row r="32" spans="1:7">
      <c r="A32" s="33">
        <v>24</v>
      </c>
      <c r="B32" s="33" t="s">
        <v>121</v>
      </c>
      <c r="C32" s="32" t="s">
        <v>142</v>
      </c>
      <c r="D32" s="33">
        <v>5</v>
      </c>
      <c r="E32" s="33" t="s">
        <v>9</v>
      </c>
      <c r="F32" s="34">
        <v>130</v>
      </c>
      <c r="G32" s="33" t="s">
        <v>189</v>
      </c>
    </row>
    <row r="33" spans="1:7">
      <c r="A33" s="33">
        <v>2</v>
      </c>
      <c r="B33" s="33" t="s">
        <v>121</v>
      </c>
      <c r="C33" s="32" t="s">
        <v>190</v>
      </c>
      <c r="D33" s="33">
        <v>50</v>
      </c>
      <c r="E33" s="33" t="s">
        <v>13</v>
      </c>
      <c r="F33" s="34">
        <v>50</v>
      </c>
      <c r="G33" s="33" t="s">
        <v>191</v>
      </c>
    </row>
    <row r="34" spans="1:7">
      <c r="A34" s="33">
        <v>17</v>
      </c>
      <c r="B34" s="33" t="s">
        <v>116</v>
      </c>
      <c r="C34" s="32" t="s">
        <v>171</v>
      </c>
      <c r="D34" s="33">
        <v>25</v>
      </c>
      <c r="E34" s="33" t="s">
        <v>9</v>
      </c>
      <c r="F34" s="34">
        <v>950</v>
      </c>
      <c r="G34" s="33" t="s">
        <v>172</v>
      </c>
    </row>
    <row r="35" spans="1:7">
      <c r="A35" s="33">
        <v>9</v>
      </c>
      <c r="B35" s="33" t="s">
        <v>143</v>
      </c>
      <c r="C35" s="32" t="s">
        <v>144</v>
      </c>
      <c r="D35" s="33">
        <v>20</v>
      </c>
      <c r="E35" s="33" t="s">
        <v>56</v>
      </c>
      <c r="F35" s="34">
        <v>100</v>
      </c>
      <c r="G35" s="33" t="s">
        <v>192</v>
      </c>
    </row>
    <row r="36" spans="1:7">
      <c r="A36" s="26"/>
      <c r="B36" s="26"/>
      <c r="C36" s="26" t="s">
        <v>193</v>
      </c>
      <c r="D36" s="26"/>
      <c r="E36" s="26"/>
      <c r="F36" s="26"/>
      <c r="G36" s="26" t="s">
        <v>194</v>
      </c>
    </row>
  </sheetData>
  <conditionalFormatting sqref="F1:F3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{D9A33472-6315-42D6-A02F-16DFA5879172}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A33472-6315-42D6-A02F-16DFA58791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defaultRowHeight="12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6924B0-380B-4F0D-BCFA-EADB5E8FD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Cleaning data</vt:lpstr>
      <vt:lpstr>observation</vt:lpstr>
      <vt:lpstr>cleaned Data</vt:lpstr>
      <vt:lpstr>Sheet5</vt:lpstr>
      <vt:lpstr>Sheet6</vt:lpstr>
      <vt:lpstr>Sheet7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PC1</cp:lastModifiedBy>
  <dcterms:created xsi:type="dcterms:W3CDTF">2026-07-23T14:43:37Z</dcterms:created>
  <dcterms:modified xsi:type="dcterms:W3CDTF">2026-09-28T15:41:15Z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